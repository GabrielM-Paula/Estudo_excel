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0A050E7D-649E-4F37-8CD1-3005CDC4CF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auxiliar" sheetId="2" r:id="rId2"/>
  </sheets>
  <definedNames>
    <definedName name="aporte">Planilha1!$E$18:$E$18</definedName>
    <definedName name="dividendosM">Planilha1!$E$22:$E$22</definedName>
    <definedName name="duracao_anos">Planilha1!$E$19:$E$19</definedName>
    <definedName name="patrimonio">Planilha1!$E$21:$E$21</definedName>
    <definedName name="rendimento_carteira">Planilha1!$E$14:$E$14</definedName>
    <definedName name="salario">Planilha1!$E$13:$E$13</definedName>
    <definedName name="sugestao_investimento">Planilha1!$E$15:$E$15</definedName>
    <definedName name="taxa_rend_mensal">Planilha1!$E$20:$E$20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6" i="1" a="1"/>
  <c r="E26" i="1"/>
  <c r="D26" i="1"/>
  <c r="D27" i="1"/>
  <c r="D28" i="1"/>
  <c r="D29" i="1"/>
  <c r="D25" i="1"/>
  <c r="D38" i="1"/>
  <c r="D39" i="1"/>
  <c r="D40" i="1"/>
  <c r="D41" i="1"/>
  <c r="D42" i="1"/>
  <c r="D37" i="1"/>
  <c r="H6" i="2"/>
  <c r="B11" i="2"/>
  <c r="B12" i="2"/>
  <c r="B13" i="2"/>
  <c r="B14" i="2"/>
  <c r="B15" i="2"/>
  <c r="B16" i="2"/>
  <c r="B17" i="2"/>
  <c r="B18" i="2"/>
  <c r="B19" i="2"/>
  <c r="B20" i="2"/>
  <c r="B21" i="2"/>
  <c r="B22" i="2"/>
  <c r="B6" i="2"/>
  <c r="B7" i="2"/>
  <c r="B8" i="2"/>
  <c r="B9" i="2"/>
  <c r="B10" i="2"/>
  <c r="B5" i="2"/>
  <c r="D34" i="1"/>
  <c r="E21" i="1" a="1"/>
  <c r="E21" i="1"/>
  <c r="E22" i="1" a="1"/>
  <c r="E22" i="1"/>
  <c r="E27" i="1" a="1"/>
  <c r="E27" i="1"/>
  <c r="E28" i="1" a="1"/>
  <c r="E28" i="1"/>
  <c r="E29" i="1" a="1"/>
  <c r="E29" i="1"/>
  <c r="E15" i="1"/>
  <c r="E38" i="1" l="1"/>
  <c r="E39" i="1"/>
  <c r="E40" i="1"/>
  <c r="E41" i="1"/>
  <c r="E42" i="1"/>
  <c r="E37" i="1"/>
  <c r="E4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<sst xmlns="http://schemas.openxmlformats.org/spreadsheetml/2006/main" count="72" uniqueCount="36">
  <si>
    <t xml:space="preserve"> </t>
  </si>
  <si>
    <t>CONFIGURAÇÕES</t>
  </si>
  <si>
    <t>Salário</t>
  </si>
  <si>
    <t>Rendimento da Carteira</t>
  </si>
  <si>
    <t>Sugestão de Investimento (30%)</t>
  </si>
  <si>
    <t>INVESTIMENTO MENSAL</t>
  </si>
  <si>
    <t>Quanto Investir por Mês?</t>
  </si>
  <si>
    <t>Por Quantos Anos?</t>
  </si>
  <si>
    <t>Taxa de Rendimento Mensal?</t>
  </si>
  <si>
    <t>Patrimômio Acumulado</t>
  </si>
  <si>
    <t>Dividendos Mensais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</si>
  <si>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</si>
  <si>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</si>
  <si>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</si>
  <si>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</si>
  <si>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</si>
  <si>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</si>
  <si>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</si>
  <si>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</si>
  <si>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Agressivo</t>
  </si>
  <si>
    <t>VALOR A SER INVESTIDO POR MÊS</t>
  </si>
  <si>
    <t>TIPO DE FII</t>
  </si>
  <si>
    <t>PORCENTUAL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</si>
  <si>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</si>
  <si>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</si>
  <si>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</si>
  <si>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</si>
  <si>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</si>
  <si>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</si>
  <si>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</si>
  <si>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</si>
  <si>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TIPOS DE FIIS</t>
  </si>
  <si>
    <t>%</t>
  </si>
  <si>
    <t>Conservador</t>
  </si>
  <si>
    <t>Moderado-TIJOLO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</si>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</sst>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&quot;$&quot;#,##0.00_);[Red]\(&quot;$&quot;#,##0.00\)"/>
    <numFmt numFmtId="165" formatCode="&quot;$&quot;#,##0.00"/>
    <numFmt numFmtId="166" formatCode="&quot;R$&quot;\ #,##0.00"/>
  </numFmts>
  <fonts count="9">
    <font>
      <sz val="11"/>
      <color theme="1"/>
      <name val="Calibri"/>
      <family val="2"/>
      <scheme val="minor"/>
    </font>
    <font>
      <b/>
      <sz val="16"/>
      <color theme="0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scheme val="minor"/>
    </font>
    <font>
      <sz val="11"/>
      <color rgb="FF9C5700"/>
      <name val="Calibri"/>
      <scheme val="minor"/>
    </font>
    <font>
      <sz val="12"/>
      <color theme="1"/>
      <name val="Arial"/>
    </font>
    <font>
      <b/>
      <sz val="12"/>
      <color theme="1"/>
      <name val="Arial"/>
    </font>
    <font>
      <b/>
      <sz val="11"/>
      <color rgb="FF9C5700"/>
      <name val="Calibri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0" tint="-0.34998626667073579"/>
      </left>
      <right style="medium">
        <color theme="1"/>
      </right>
      <top style="thin">
        <color theme="0" tint="-0.14999847407452621"/>
      </top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1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166" fontId="0" fillId="0" borderId="0" xfId="0" applyNumberFormat="1"/>
    <xf numFmtId="9" fontId="0" fillId="0" borderId="0" xfId="0" applyNumberFormat="1"/>
    <xf numFmtId="0" fontId="1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10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0" fillId="0" borderId="0" xfId="0" applyBorder="1"/>
    <xf numFmtId="0" fontId="1" fillId="2" borderId="12" xfId="0" applyFont="1" applyFill="1" applyBorder="1" applyAlignment="1">
      <alignment horizontal="center" wrapText="1"/>
    </xf>
    <xf numFmtId="0" fontId="5" fillId="5" borderId="13" xfId="0" applyFont="1" applyFill="1" applyBorder="1" applyAlignment="1">
      <alignment horizontal="left" indent="3"/>
    </xf>
    <xf numFmtId="0" fontId="5" fillId="5" borderId="8" xfId="0" applyFont="1" applyFill="1" applyBorder="1" applyAlignment="1">
      <alignment horizontal="left" indent="3"/>
    </xf>
    <xf numFmtId="166" fontId="5" fillId="0" borderId="14" xfId="0" applyNumberFormat="1" applyFont="1" applyBorder="1" applyAlignment="1">
      <alignment horizontal="center"/>
    </xf>
    <xf numFmtId="0" fontId="5" fillId="5" borderId="4" xfId="0" applyFont="1" applyFill="1" applyBorder="1" applyAlignment="1">
      <alignment horizontal="left" indent="3"/>
    </xf>
    <xf numFmtId="0" fontId="5" fillId="5" borderId="9" xfId="0" applyFont="1" applyFill="1" applyBorder="1" applyAlignment="1">
      <alignment horizontal="left" indent="3"/>
    </xf>
    <xf numFmtId="10" fontId="5" fillId="0" borderId="5" xfId="0" applyNumberFormat="1" applyFont="1" applyBorder="1" applyAlignment="1">
      <alignment horizontal="center"/>
    </xf>
    <xf numFmtId="0" fontId="5" fillId="5" borderId="6" xfId="0" applyFont="1" applyFill="1" applyBorder="1" applyAlignment="1">
      <alignment horizontal="left" indent="3"/>
    </xf>
    <xf numFmtId="0" fontId="5" fillId="5" borderId="15" xfId="0" applyFont="1" applyFill="1" applyBorder="1" applyAlignment="1">
      <alignment horizontal="left" indent="3"/>
    </xf>
    <xf numFmtId="166" fontId="5" fillId="5" borderId="7" xfId="0" applyNumberFormat="1" applyFont="1" applyFill="1" applyBorder="1" applyAlignment="1">
      <alignment horizontal="center"/>
    </xf>
    <xf numFmtId="0" fontId="5" fillId="0" borderId="13" xfId="0" applyFont="1" applyBorder="1" applyAlignment="1">
      <alignment horizontal="left" indent="3"/>
    </xf>
    <xf numFmtId="0" fontId="5" fillId="0" borderId="8" xfId="0" applyFont="1" applyBorder="1" applyAlignment="1">
      <alignment horizontal="left" indent="3"/>
    </xf>
    <xf numFmtId="165" fontId="6" fillId="0" borderId="3" xfId="0" applyNumberFormat="1" applyFont="1" applyBorder="1" applyAlignment="1">
      <alignment horizontal="center"/>
    </xf>
    <xf numFmtId="0" fontId="5" fillId="0" borderId="4" xfId="0" applyFont="1" applyBorder="1" applyAlignment="1">
      <alignment horizontal="left" indent="3"/>
    </xf>
    <xf numFmtId="0" fontId="5" fillId="0" borderId="9" xfId="0" applyFont="1" applyBorder="1" applyAlignment="1">
      <alignment horizontal="left" indent="3"/>
    </xf>
    <xf numFmtId="1" fontId="6" fillId="0" borderId="5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5" borderId="4" xfId="0" applyFont="1" applyFill="1" applyBorder="1" applyAlignment="1">
      <alignment horizontal="left" indent="3"/>
    </xf>
    <xf numFmtId="0" fontId="6" fillId="5" borderId="9" xfId="0" applyFont="1" applyFill="1" applyBorder="1" applyAlignment="1">
      <alignment horizontal="left" indent="3"/>
    </xf>
    <xf numFmtId="164" fontId="6" fillId="5" borderId="5" xfId="0" applyNumberFormat="1" applyFont="1" applyFill="1" applyBorder="1" applyAlignment="1">
      <alignment horizontal="center"/>
    </xf>
    <xf numFmtId="0" fontId="6" fillId="5" borderId="6" xfId="0" applyFont="1" applyFill="1" applyBorder="1" applyAlignment="1">
      <alignment horizontal="left" indent="3"/>
    </xf>
    <xf numFmtId="0" fontId="6" fillId="5" borderId="15" xfId="0" applyFont="1" applyFill="1" applyBorder="1" applyAlignment="1">
      <alignment horizontal="left" indent="3"/>
    </xf>
    <xf numFmtId="164" fontId="6" fillId="5" borderId="7" xfId="0" applyNumberFormat="1" applyFont="1" applyFill="1" applyBorder="1" applyAlignment="1">
      <alignment horizontal="center"/>
    </xf>
    <xf numFmtId="0" fontId="5" fillId="5" borderId="13" xfId="0" applyFont="1" applyFill="1" applyBorder="1" applyAlignment="1">
      <alignment horizontal="left" indent="3"/>
    </xf>
    <xf numFmtId="8" fontId="5" fillId="5" borderId="8" xfId="0" applyNumberFormat="1" applyFont="1" applyFill="1" applyBorder="1" applyAlignment="1">
      <alignment horizontal="center"/>
    </xf>
    <xf numFmtId="165" fontId="5" fillId="5" borderId="14" xfId="0" applyNumberFormat="1" applyFont="1" applyFill="1" applyBorder="1" applyAlignment="1">
      <alignment horizontal="center"/>
    </xf>
    <xf numFmtId="0" fontId="5" fillId="5" borderId="4" xfId="0" applyFont="1" applyFill="1" applyBorder="1" applyAlignment="1">
      <alignment horizontal="left" indent="3"/>
    </xf>
    <xf numFmtId="165" fontId="5" fillId="5" borderId="5" xfId="0" applyNumberFormat="1" applyFont="1" applyFill="1" applyBorder="1" applyAlignment="1">
      <alignment horizontal="center"/>
    </xf>
    <xf numFmtId="0" fontId="5" fillId="5" borderId="6" xfId="0" applyFont="1" applyFill="1" applyBorder="1" applyAlignment="1">
      <alignment horizontal="left" indent="3"/>
    </xf>
    <xf numFmtId="165" fontId="5" fillId="5" borderId="7" xfId="0" applyNumberFormat="1" applyFont="1" applyFill="1" applyBorder="1" applyAlignment="1">
      <alignment horizontal="center"/>
    </xf>
    <xf numFmtId="0" fontId="4" fillId="3" borderId="0" xfId="1"/>
    <xf numFmtId="0" fontId="0" fillId="5" borderId="0" xfId="0" applyFill="1"/>
    <xf numFmtId="166" fontId="0" fillId="5" borderId="0" xfId="0" applyNumberFormat="1" applyFill="1" applyAlignment="1">
      <alignment horizontal="center"/>
    </xf>
    <xf numFmtId="0" fontId="4" fillId="3" borderId="0" xfId="1" applyAlignment="1">
      <alignment horizontal="center" wrapText="1"/>
    </xf>
    <xf numFmtId="0" fontId="7" fillId="3" borderId="0" xfId="1" applyFont="1"/>
    <xf numFmtId="0" fontId="2" fillId="5" borderId="0" xfId="0" applyFont="1" applyFill="1"/>
    <xf numFmtId="0" fontId="2" fillId="6" borderId="0" xfId="0" applyFont="1" applyFill="1" applyAlignment="1">
      <alignment horizontal="center"/>
    </xf>
    <xf numFmtId="0" fontId="0" fillId="6" borderId="0" xfId="0" applyFill="1"/>
    <xf numFmtId="166" fontId="2" fillId="6" borderId="0" xfId="0" applyNumberFormat="1" applyFont="1" applyFill="1"/>
    <xf numFmtId="0" fontId="0" fillId="0" borderId="16" xfId="0" applyBorder="1"/>
    <xf numFmtId="0" fontId="0" fillId="0" borderId="16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6" xfId="0" applyNumberFormat="1" applyBorder="1" applyAlignment="1">
      <alignment horizontal="center"/>
    </xf>
    <xf numFmtId="0" fontId="4" fillId="3" borderId="0" xfId="1" applyAlignment="1"/>
    <xf numFmtId="9" fontId="4" fillId="3" borderId="0" xfId="1" applyNumberFormat="1" applyAlignment="1"/>
    <xf numFmtId="8" fontId="5" fillId="5" borderId="17" xfId="0" applyNumberFormat="1" applyFont="1" applyFill="1" applyBorder="1" applyAlignment="1">
      <alignment horizontal="center"/>
    </xf>
    <xf numFmtId="0" fontId="8" fillId="0" borderId="0" xfId="0" applyFont="1"/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xlsrvcd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1</xdr:row>
      <xdr:rowOff>9525</xdr:rowOff>
    </xdr:from>
    <xdr:to>
      <xdr:col>5</xdr:col>
      <xdr:colOff>19050</xdr:colOff>
      <xdr:row>9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C3B11A-EA19-2A40-4DAE-8282FF9CD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04825" y="200025"/>
          <a:ext cx="6305550" cy="1685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43"/>
  <sheetViews>
    <sheetView showGridLines="0" showRowColHeaders="0" tabSelected="1" topLeftCell="A20" workbookViewId="0">
      <selection activeCell="D38" sqref="D38"/>
    </sheetView>
  </sheetViews>
  <sheetFormatPr defaultColWidth="0" defaultRowHeight="15"/>
  <cols>
    <col min="1" max="1" width="2.28515625" customWidth="1"/>
    <col min="2" max="2" width="6.140625" customWidth="1"/>
    <col min="3" max="3" width="47.28515625" customWidth="1"/>
    <col min="4" max="4" width="27.7109375" customWidth="1"/>
    <col min="5" max="5" width="18.42578125" customWidth="1"/>
    <col min="6" max="6" width="3.7109375" customWidth="1"/>
    <col min="7" max="7" width="4.7109375" customWidth="1"/>
    <col min="8" max="8" width="3.7109375" customWidth="1"/>
    <col min="9" max="9" width="6.5703125" customWidth="1"/>
  </cols>
  <sheetData>
    <row r="3" spans="3:5">
      <c r="C3" s="1"/>
      <c r="D3" s="1"/>
    </row>
    <row r="5" spans="3:5">
      <c r="E5" t="s">
        <v>0</v>
      </c>
    </row>
    <row r="12" spans="3:5" ht="21" customHeight="1">
      <c r="C12" s="9" t="s">
        <v>1</v>
      </c>
      <c r="D12" s="10"/>
      <c r="E12" s="11"/>
    </row>
    <row r="13" spans="3:5" ht="15.75">
      <c r="C13" s="14" t="s">
        <v>2</v>
      </c>
      <c r="D13" s="15"/>
      <c r="E13" s="16">
        <v>1500</v>
      </c>
    </row>
    <row r="14" spans="3:5" ht="15.75">
      <c r="C14" s="17" t="s">
        <v>3</v>
      </c>
      <c r="D14" s="18"/>
      <c r="E14" s="19">
        <v>8.9999999999999993E-3</v>
      </c>
    </row>
    <row r="15" spans="3:5" ht="15.75">
      <c r="C15" s="20" t="s">
        <v>4</v>
      </c>
      <c r="D15" s="21"/>
      <c r="E15" s="22">
        <f>E13*30%</f>
        <v>450</v>
      </c>
    </row>
    <row r="17" spans="2:9" ht="21" customHeight="1">
      <c r="C17" s="2" t="s">
        <v>5</v>
      </c>
      <c r="D17" s="7"/>
      <c r="E17" s="3"/>
      <c r="I17" s="12"/>
    </row>
    <row r="18" spans="2:9" ht="15.75">
      <c r="C18" s="23" t="s">
        <v>6</v>
      </c>
      <c r="D18" s="24"/>
      <c r="E18" s="25">
        <v>200</v>
      </c>
    </row>
    <row r="19" spans="2:9" ht="15" customHeight="1">
      <c r="C19" s="26" t="s">
        <v>7</v>
      </c>
      <c r="D19" s="27"/>
      <c r="E19" s="28">
        <v>5</v>
      </c>
    </row>
    <row r="20" spans="2:9" ht="15.75">
      <c r="B20" s="4"/>
      <c r="C20" s="26" t="s">
        <v>8</v>
      </c>
      <c r="D20" s="27"/>
      <c r="E20" s="29">
        <v>1.0789999999999999E-2</v>
      </c>
    </row>
    <row r="21" spans="2:9" ht="15.75">
      <c r="C21" s="30" t="s">
        <v>9</v>
      </c>
      <c r="D21" s="31"/>
      <c r="E21" s="32" cm="1">
        <f t="array" ref="E21">FV(taxa_rend_mensal,duracao_anos*12,aporte)*-1</f>
        <v>16755.382799697527</v>
      </c>
    </row>
    <row r="22" spans="2:9" ht="15.75">
      <c r="C22" s="33" t="s">
        <v>10</v>
      </c>
      <c r="D22" s="34"/>
      <c r="E22" s="35" cm="1">
        <f t="array" ref="E22">E21*taxa_rend_mensal</f>
        <v>180.7905804087363</v>
      </c>
    </row>
    <row r="24" spans="2:9" ht="21" customHeight="1">
      <c r="C24" s="2" t="s">
        <v>11</v>
      </c>
      <c r="D24" s="13"/>
      <c r="E24" s="8" t="s">
        <v>12</v>
      </c>
    </row>
    <row r="25" spans="2:9" ht="15.75">
      <c r="B25" s="59">
        <v>2</v>
      </c>
      <c r="C25" s="36" t="s">
        <v>13</v>
      </c>
      <c r="D25" s="37">
        <f>FV($E$20,$B25*12,$E$18*-1)</f>
        <v>5445.5254595290435</v>
      </c>
      <c r="E25" s="38">
        <f>D25*E14</f>
        <v>49.00972913576139</v>
      </c>
    </row>
    <row r="26" spans="2:9" ht="15.75">
      <c r="B26" s="59">
        <v>5</v>
      </c>
      <c r="C26" s="39" t="s">
        <v>14</v>
      </c>
      <c r="D26" s="37">
        <f t="shared" ref="D26:D29" si="0">FV($E$20,$B26*12,$E$18*-1)</f>
        <v>16755.382799697527</v>
      </c>
      <c r="E26" s="40" cm="1">
        <f t="array" ref="E26">D26*rendimento_carteira</f>
        <v>150.79844519727774</v>
      </c>
    </row>
    <row r="27" spans="2:9" ht="15.75">
      <c r="B27" s="59">
        <v>10</v>
      </c>
      <c r="C27" s="39" t="s">
        <v>15</v>
      </c>
      <c r="D27" s="37">
        <f t="shared" si="0"/>
        <v>48656.842506034438</v>
      </c>
      <c r="E27" s="40" cm="1">
        <f t="array" ref="E27">D27*rendimento_carteira</f>
        <v>437.91158255430992</v>
      </c>
    </row>
    <row r="28" spans="2:9" ht="15.75">
      <c r="B28" s="59">
        <v>20</v>
      </c>
      <c r="C28" s="39" t="s">
        <v>16</v>
      </c>
      <c r="D28" s="37">
        <f t="shared" si="0"/>
        <v>225039.68001941612</v>
      </c>
      <c r="E28" s="40" cm="1">
        <f t="array" ref="E28">D28*rendimento_carteira</f>
        <v>2025.357120174745</v>
      </c>
    </row>
    <row r="29" spans="2:9" ht="15.75">
      <c r="B29" s="59">
        <v>30</v>
      </c>
      <c r="C29" s="41" t="s">
        <v>17</v>
      </c>
      <c r="D29" s="58">
        <f t="shared" si="0"/>
        <v>864433.93100094295</v>
      </c>
      <c r="E29" s="42" cm="1">
        <f t="array" ref="E29">D29*rendimento_carteira</f>
        <v>7779.9053790084863</v>
      </c>
    </row>
    <row r="33" spans="3:5">
      <c r="C33" s="47" t="s">
        <v>18</v>
      </c>
      <c r="D33" s="46" t="s">
        <v>19</v>
      </c>
      <c r="E33" s="43"/>
    </row>
    <row r="34" spans="3:5">
      <c r="C34" s="48" t="s">
        <v>20</v>
      </c>
      <c r="D34" s="45">
        <f>E18</f>
        <v>200</v>
      </c>
      <c r="E34" s="44"/>
    </row>
    <row r="36" spans="3:5">
      <c r="C36" s="49" t="s">
        <v>21</v>
      </c>
      <c r="D36" s="49" t="s">
        <v>22</v>
      </c>
      <c r="E36" s="49" t="s">
        <v>23</v>
      </c>
    </row>
    <row r="37" spans="3:5">
      <c r="C37" s="1" t="s">
        <v>24</v>
      </c>
      <c r="D37" s="6">
        <f>VLOOKUP($D$33&amp;"-"&amp;C37,auxiliar!B:E,4,FALSE)</f>
        <v>0.5</v>
      </c>
      <c r="E37" s="5">
        <f>D37*$D$34</f>
        <v>100</v>
      </c>
    </row>
    <row r="38" spans="3:5">
      <c r="C38" s="1" t="s">
        <v>25</v>
      </c>
      <c r="D38" s="6">
        <f>VLOOKUP($D$33&amp;"-"&amp;C38,auxiliar!B:E,4,FALSE)</f>
        <v>0.1</v>
      </c>
      <c r="E38" s="5">
        <f t="shared" ref="E38:E42" si="1">D38*$D$34</f>
        <v>20</v>
      </c>
    </row>
    <row r="39" spans="3:5">
      <c r="C39" s="1" t="s">
        <v>26</v>
      </c>
      <c r="D39" s="6">
        <f>VLOOKUP($D$33&amp;"-"&amp;C39,auxiliar!B:E,4,FALSE)</f>
        <v>0.05</v>
      </c>
      <c r="E39" s="5">
        <f t="shared" si="1"/>
        <v>10</v>
      </c>
    </row>
    <row r="40" spans="3:5">
      <c r="C40" s="1" t="s">
        <v>27</v>
      </c>
      <c r="D40" s="6">
        <f>VLOOKUP($D$33&amp;"-"&amp;C40,auxiliar!B:E,4,FALSE)</f>
        <v>0.05</v>
      </c>
      <c r="E40" s="5">
        <f t="shared" si="1"/>
        <v>10</v>
      </c>
    </row>
    <row r="41" spans="3:5">
      <c r="C41" s="1" t="s">
        <v>28</v>
      </c>
      <c r="D41" s="6">
        <f>VLOOKUP($D$33&amp;"-"&amp;C41,auxiliar!B:E,4,FALSE)</f>
        <v>0.2</v>
      </c>
      <c r="E41" s="5">
        <f t="shared" si="1"/>
        <v>40</v>
      </c>
    </row>
    <row r="42" spans="3:5">
      <c r="C42" s="1" t="s">
        <v>29</v>
      </c>
      <c r="D42" s="6">
        <f>VLOOKUP($D$33&amp;"-"&amp;C42,auxiliar!B:E,4,FALSE)</f>
        <v>0.1</v>
      </c>
      <c r="E42" s="5">
        <f t="shared" si="1"/>
        <v>20</v>
      </c>
    </row>
    <row r="43" spans="3:5">
      <c r="C43" s="50"/>
      <c r="D43" s="50"/>
      <c r="E43" s="51">
        <f>SUM(E37:E42)</f>
        <v>200</v>
      </c>
    </row>
  </sheetData>
  <mergeCells count="11">
    <mergeCell ref="C19:D19"/>
    <mergeCell ref="C24:D24"/>
    <mergeCell ref="C18:D18"/>
    <mergeCell ref="C20:D20"/>
    <mergeCell ref="C21:D21"/>
    <mergeCell ref="C22:D22"/>
    <mergeCell ref="C17:E17"/>
    <mergeCell ref="C13:D13"/>
    <mergeCell ref="C14:D14"/>
    <mergeCell ref="C15:D15"/>
    <mergeCell ref="C12:E12"/>
  </mergeCells>
  <conditionalFormatting sqref="D37:D4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{08814EAE-D658-4AE3-9214-F85B2550391A}</x14:id>
        </ext>
      </extLst>
    </cfRule>
  </conditionalFormatting>
  <dataValidations count="1">
    <dataValidation type="list" allowBlank="1" showInputMessage="1" showErrorMessage="1" sqref="D33" xr:uid="{AC414C0F-4894-4B30-AF8F-B4151ED4E460}">
      <formula1>"Conservador,Moderado,Agressivo"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814EAE-D658-4AE3-9214-F85B255039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D37:D42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1A1D-2EFC-4AAB-AD3B-8982694093D2}">
  <dimension ref="B4:H22"/>
  <sheetViews>
    <sheetView workbookViewId="0">
      <selection activeCell="G24" sqref="G24"/>
    </sheetView>
  </sheetViews>
  <sheetFormatPr defaultRowHeight="15"/>
  <cols>
    <col min="2" max="2" width="30.28515625" bestFit="1" customWidth="1"/>
    <col min="3" max="3" width="11.85546875" bestFit="1" customWidth="1"/>
    <col min="4" max="4" width="18.7109375" bestFit="1" customWidth="1"/>
    <col min="5" max="5" width="9" customWidth="1"/>
    <col min="7" max="7" width="16.7109375" bestFit="1" customWidth="1"/>
    <col min="8" max="8" width="7.28515625" bestFit="1" customWidth="1"/>
  </cols>
  <sheetData>
    <row r="4" spans="2:8">
      <c r="B4" t="s">
        <v>30</v>
      </c>
      <c r="C4" t="s">
        <v>18</v>
      </c>
      <c r="D4" t="s">
        <v>31</v>
      </c>
      <c r="E4" t="s">
        <v>32</v>
      </c>
    </row>
    <row r="5" spans="2:8">
      <c r="B5" t="str">
        <f>C5&amp;"-"&amp;D5</f>
        <v>Conservador-PAPEL</v>
      </c>
      <c r="C5" t="s">
        <v>33</v>
      </c>
      <c r="D5" s="1" t="s">
        <v>24</v>
      </c>
      <c r="E5" s="54">
        <v>0.3</v>
      </c>
      <c r="H5" t="s">
        <v>32</v>
      </c>
    </row>
    <row r="6" spans="2:8">
      <c r="B6" t="str">
        <f t="shared" ref="B6:B22" si="0">C6&amp;"-"&amp;D6</f>
        <v>Conservador-TIJOLO</v>
      </c>
      <c r="C6" t="s">
        <v>33</v>
      </c>
      <c r="D6" s="1" t="s">
        <v>25</v>
      </c>
      <c r="E6" s="54">
        <v>0.5</v>
      </c>
      <c r="G6" s="56" t="s">
        <v>34</v>
      </c>
      <c r="H6" s="57">
        <f>VLOOKUP(G6,$B:$E,4,FALSE)</f>
        <v>0.35</v>
      </c>
    </row>
    <row r="7" spans="2:8">
      <c r="B7" t="str">
        <f t="shared" si="0"/>
        <v>Conservador-HÍBRIDOS</v>
      </c>
      <c r="C7" t="s">
        <v>33</v>
      </c>
      <c r="D7" s="1" t="s">
        <v>26</v>
      </c>
      <c r="E7" s="54">
        <v>0.1</v>
      </c>
    </row>
    <row r="8" spans="2:8">
      <c r="B8" t="str">
        <f t="shared" si="0"/>
        <v>Conservador-FOFs</v>
      </c>
      <c r="C8" t="s">
        <v>33</v>
      </c>
      <c r="D8" s="1" t="s">
        <v>27</v>
      </c>
      <c r="E8" s="54">
        <v>0.1</v>
      </c>
    </row>
    <row r="9" spans="2:8">
      <c r="B9" t="str">
        <f t="shared" si="0"/>
        <v>Conservador-DESENVOLVIMENTO</v>
      </c>
      <c r="C9" t="s">
        <v>33</v>
      </c>
      <c r="D9" s="1" t="s">
        <v>28</v>
      </c>
      <c r="E9" s="54">
        <v>0</v>
      </c>
    </row>
    <row r="10" spans="2:8">
      <c r="B10" s="52" t="str">
        <f t="shared" si="0"/>
        <v>Conservador-HOTELARIAS</v>
      </c>
      <c r="C10" s="52" t="s">
        <v>33</v>
      </c>
      <c r="D10" s="53" t="s">
        <v>29</v>
      </c>
      <c r="E10" s="55">
        <v>0</v>
      </c>
    </row>
    <row r="11" spans="2:8">
      <c r="B11" t="str">
        <f t="shared" si="0"/>
        <v>Moderado-PAPEL</v>
      </c>
      <c r="C11" t="s">
        <v>35</v>
      </c>
      <c r="D11" s="1" t="s">
        <v>24</v>
      </c>
      <c r="E11" s="54">
        <v>0.32</v>
      </c>
    </row>
    <row r="12" spans="2:8">
      <c r="B12" t="str">
        <f t="shared" si="0"/>
        <v>Moderado-TIJOLO</v>
      </c>
      <c r="C12" t="s">
        <v>35</v>
      </c>
      <c r="D12" s="1" t="s">
        <v>25</v>
      </c>
      <c r="E12" s="54">
        <v>0.35</v>
      </c>
    </row>
    <row r="13" spans="2:8">
      <c r="B13" t="str">
        <f t="shared" si="0"/>
        <v>Moderado-HÍBRIDOS</v>
      </c>
      <c r="C13" t="s">
        <v>35</v>
      </c>
      <c r="D13" s="1" t="s">
        <v>26</v>
      </c>
      <c r="E13" s="54">
        <v>0.08</v>
      </c>
    </row>
    <row r="14" spans="2:8">
      <c r="B14" t="str">
        <f t="shared" si="0"/>
        <v>Moderado-FOFs</v>
      </c>
      <c r="C14" t="s">
        <v>35</v>
      </c>
      <c r="D14" s="1" t="s">
        <v>27</v>
      </c>
      <c r="E14" s="54">
        <v>0.05</v>
      </c>
    </row>
    <row r="15" spans="2:8">
      <c r="B15" t="str">
        <f t="shared" si="0"/>
        <v>Moderado-DESENVOLVIMENTO</v>
      </c>
      <c r="C15" t="s">
        <v>35</v>
      </c>
      <c r="D15" s="1" t="s">
        <v>28</v>
      </c>
      <c r="E15" s="54">
        <v>0.1</v>
      </c>
    </row>
    <row r="16" spans="2:8">
      <c r="B16" s="52" t="str">
        <f t="shared" si="0"/>
        <v>Moderado-HOTELARIAS</v>
      </c>
      <c r="C16" s="52" t="s">
        <v>35</v>
      </c>
      <c r="D16" s="53" t="s">
        <v>29</v>
      </c>
      <c r="E16" s="55">
        <v>0.1</v>
      </c>
    </row>
    <row r="17" spans="2:5">
      <c r="B17" t="str">
        <f t="shared" si="0"/>
        <v>Agressivo-PAPEL</v>
      </c>
      <c r="C17" t="s">
        <v>19</v>
      </c>
      <c r="D17" s="1" t="s">
        <v>24</v>
      </c>
      <c r="E17" s="54">
        <v>0.5</v>
      </c>
    </row>
    <row r="18" spans="2:5">
      <c r="B18" t="str">
        <f t="shared" si="0"/>
        <v>Agressivo-TIJOLO</v>
      </c>
      <c r="C18" t="s">
        <v>19</v>
      </c>
      <c r="D18" s="1" t="s">
        <v>25</v>
      </c>
      <c r="E18" s="54">
        <v>0.1</v>
      </c>
    </row>
    <row r="19" spans="2:5">
      <c r="B19" t="str">
        <f t="shared" si="0"/>
        <v>Agressivo-HÍBRIDOS</v>
      </c>
      <c r="C19" t="s">
        <v>19</v>
      </c>
      <c r="D19" s="1" t="s">
        <v>26</v>
      </c>
      <c r="E19" s="54">
        <v>0.05</v>
      </c>
    </row>
    <row r="20" spans="2:5">
      <c r="B20" t="str">
        <f t="shared" si="0"/>
        <v>Agressivo-FOFs</v>
      </c>
      <c r="C20" t="s">
        <v>19</v>
      </c>
      <c r="D20" s="1" t="s">
        <v>27</v>
      </c>
      <c r="E20" s="54">
        <v>0.05</v>
      </c>
    </row>
    <row r="21" spans="2:5">
      <c r="B21" t="str">
        <f t="shared" si="0"/>
        <v>Agressivo-DESENVOLVIMENTO</v>
      </c>
      <c r="C21" t="s">
        <v>19</v>
      </c>
      <c r="D21" s="1" t="s">
        <v>28</v>
      </c>
      <c r="E21" s="54">
        <v>0.2</v>
      </c>
    </row>
    <row r="22" spans="2:5">
      <c r="B22" t="str">
        <f t="shared" si="0"/>
        <v>Agressivo-HOTELARIAS</v>
      </c>
      <c r="C22" t="s">
        <v>19</v>
      </c>
      <c r="D22" s="1" t="s">
        <v>29</v>
      </c>
      <c r="E22" s="5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2026-01-02T20:25:02Z</dcterms:created>
  <dcterms:modified xsi:type="dcterms:W3CDTF">2026-01-07T05:58:13Z</dcterms:modified>
  <cp:category/>
  <cp:contentStatus/>
</cp:coreProperties>
</file>